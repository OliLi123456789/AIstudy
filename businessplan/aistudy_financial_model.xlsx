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ost Per Action" sheetId="2" state="visible" r:id="rId2"/>
    <sheet name="Unit Economics" sheetId="3" state="visible" r:id="rId3"/>
    <sheet name="Usage Mix" sheetId="4" state="visible" r:id="rId4"/>
    <sheet name="Per-User P&amp;L" sheetId="5" state="visible" r:id="rId5"/>
    <sheet name="Scale Model" sheetId="6" state="visible" r:id="rId6"/>
    <sheet name="Break-Even" sheetId="7" state="visible" r:id="rId7"/>
    <sheet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B7280"/>
      <sz val="9"/>
    </font>
    <font>
      <sz val="11"/>
    </font>
    <font>
      <b val="1"/>
      <color rgb="00111827"/>
      <sz val="12"/>
    </font>
    <font>
      <b val="1"/>
      <color rgb="00374151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4" fillId="2" borderId="1" pivotButton="0" quotePrefix="0" xfId="0"/>
    <xf numFmtId="0" fontId="3" fillId="2" borderId="1" pivotButton="0" quotePrefix="0" xfId="0"/>
    <xf numFmtId="0" fontId="5" fillId="2" borderId="1" pivotButton="0" quotePrefix="0" xfId="0"/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6" fillId="4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0" workbookViewId="0">
      <selection activeCell="A1" sqref="A1"/>
    </sheetView>
  </sheetViews>
  <sheetFormatPr baseColWidth="8" defaultRowHeight="15"/>
  <cols>
    <col width="22" customWidth="1" min="22" max="22"/>
    <col width="44" customWidth="1" min="44" max="44"/>
    <col width="46" customWidth="1" min="46" max="46"/>
  </cols>
  <sheetData>
    <row r="1">
      <c r="A1" s="1" t="inlineStr">
        <is>
          <t>AIstudy - Financial Model Assumptions (v2, no chat)</t>
        </is>
      </c>
    </row>
    <row r="2">
      <c r="A2" s="2" t="inlineStr">
        <is>
          <t>Yellow = editable input. Blue = computed. All money USD.</t>
        </is>
      </c>
    </row>
    <row r="3">
      <c r="A3" s="3" t="inlineStr">
        <is>
          <t>DeepSeek V4 Flash pricing (per 1M tokens)</t>
        </is>
      </c>
      <c r="B3" s="4" t="n"/>
      <c r="C3" s="4" t="n"/>
    </row>
    <row r="4">
      <c r="A4" s="5" t="inlineStr">
        <is>
          <t>Parameter</t>
        </is>
      </c>
      <c r="B4" s="5" t="inlineStr">
        <is>
          <t>Value</t>
        </is>
      </c>
      <c r="C4" s="5" t="inlineStr">
        <is>
          <t>Notes</t>
        </is>
      </c>
    </row>
    <row r="5">
      <c r="A5" s="6" t="inlineStr">
        <is>
          <t>Input price (cache miss)</t>
        </is>
      </c>
      <c r="B5" s="7" t="n">
        <v>0.14</v>
      </c>
      <c r="C5" s="6" t="inlineStr">
        <is>
          <t>$ per 1M input tokens</t>
        </is>
      </c>
    </row>
    <row r="6">
      <c r="A6" s="6" t="inlineStr">
        <is>
          <t>Input price (cache hit)</t>
        </is>
      </c>
      <c r="B6" s="7" t="n">
        <v>0.0028</v>
      </c>
      <c r="C6" s="6" t="inlineStr">
        <is>
          <t>$ per 1M input tokens</t>
        </is>
      </c>
    </row>
    <row r="7">
      <c r="A7" s="6" t="inlineStr">
        <is>
          <t>Output price</t>
        </is>
      </c>
      <c r="B7" s="7" t="n">
        <v>0.28</v>
      </c>
      <c r="C7" s="6" t="inlineStr">
        <is>
          <t>$ per 1M output tokens</t>
        </is>
      </c>
    </row>
    <row r="8">
      <c r="A8" s="6" t="inlineStr">
        <is>
          <t>Cache hit rate</t>
        </is>
      </c>
      <c r="B8" s="7" t="n">
        <v>0</v>
      </c>
      <c r="C8" s="6" t="inlineStr">
        <is>
          <t>share of input tokens billed at hit price</t>
        </is>
      </c>
    </row>
    <row r="9">
      <c r="A9" s="3" t="inlineStr">
        <is>
          <t>Document lengths (tokens per upload)</t>
        </is>
      </c>
      <c r="B9" s="4" t="n"/>
      <c r="C9" s="4" t="n"/>
    </row>
    <row r="10">
      <c r="A10" s="5" t="inlineStr">
        <is>
          <t>Length</t>
        </is>
      </c>
      <c r="B10" s="5" t="inlineStr">
        <is>
          <t>Tokens</t>
        </is>
      </c>
      <c r="C10" s="5" t="inlineStr">
        <is>
          <t>Notes</t>
        </is>
      </c>
    </row>
    <row r="11">
      <c r="A11" s="6" t="inlineStr">
        <is>
          <t>Short PDF (~5 pages)</t>
        </is>
      </c>
      <c r="B11" s="7" t="n">
        <v>3300</v>
      </c>
    </row>
    <row r="12">
      <c r="A12" s="6" t="inlineStr">
        <is>
          <t>Medium PDF (~20 pages)</t>
        </is>
      </c>
      <c r="B12" s="7" t="n">
        <v>13300</v>
      </c>
    </row>
    <row r="13">
      <c r="A13" s="6" t="inlineStr">
        <is>
          <t>Long PDF (~60 pages)</t>
        </is>
      </c>
      <c r="B13" s="7" t="n">
        <v>40000</v>
      </c>
    </row>
    <row r="14">
      <c r="A14" s="6" t="inlineStr">
        <is>
          <t>Slides deck (~40 slides)</t>
        </is>
      </c>
      <c r="B14" s="7" t="n">
        <v>2000</v>
      </c>
    </row>
    <row r="15">
      <c r="A15" s="3" t="inlineStr">
        <is>
          <t>Upload mix (share of uploads, must sum to 1)</t>
        </is>
      </c>
      <c r="B15" s="4" t="n"/>
      <c r="C15" s="4" t="n"/>
    </row>
    <row r="16">
      <c r="A16" s="5" t="inlineStr">
        <is>
          <t>Length</t>
        </is>
      </c>
      <c r="B16" s="5" t="inlineStr">
        <is>
          <t>Share</t>
        </is>
      </c>
    </row>
    <row r="17">
      <c r="A17" s="6" t="inlineStr">
        <is>
          <t>Short PDF (~5 pages)</t>
        </is>
      </c>
      <c r="B17" s="7" t="n">
        <v>0.3</v>
      </c>
    </row>
    <row r="18">
      <c r="A18" s="6" t="inlineStr">
        <is>
          <t>Medium PDF (~20 pages)</t>
        </is>
      </c>
      <c r="B18" s="7" t="n">
        <v>0.4</v>
      </c>
    </row>
    <row r="19">
      <c r="A19" s="6" t="inlineStr">
        <is>
          <t>Long PDF (~60 pages)</t>
        </is>
      </c>
      <c r="B19" s="7" t="n">
        <v>0.2</v>
      </c>
    </row>
    <row r="20">
      <c r="A20" s="6" t="inlineStr">
        <is>
          <t>Slides deck (~40 slides)</t>
        </is>
      </c>
      <c r="B20" s="7" t="n">
        <v>0.1</v>
      </c>
    </row>
    <row r="21">
      <c r="A21" s="3" t="inlineStr">
        <is>
          <t>AI action token multipliers</t>
        </is>
      </c>
      <c r="B21" s="4" t="n"/>
      <c r="C21" s="4" t="n"/>
    </row>
    <row r="22">
      <c r="A22" s="5" t="inlineStr">
        <is>
          <t>Action</t>
        </is>
      </c>
      <c r="B22" s="5" t="inlineStr">
        <is>
          <t>Input x doc</t>
        </is>
      </c>
      <c r="C22" s="5" t="inlineStr">
        <is>
          <t>Output x doc</t>
        </is>
      </c>
      <c r="D22" s="5" t="inlineStr">
        <is>
          <t>Notes</t>
        </is>
      </c>
    </row>
    <row r="23">
      <c r="A23" s="6" t="inlineStr">
        <is>
          <t>Create note</t>
        </is>
      </c>
      <c r="B23" s="7" t="n">
        <v>1</v>
      </c>
      <c r="C23" s="7" t="n">
        <v>0.35</v>
      </c>
      <c r="D23" s="6" t="inlineStr">
        <is>
          <t>reads full doc, writes condensed notes</t>
        </is>
      </c>
    </row>
    <row r="24">
      <c r="A24" s="6" t="inlineStr">
        <is>
          <t>Generate flashcards</t>
        </is>
      </c>
      <c r="B24" s="7" t="n">
        <v>1.5</v>
      </c>
      <c r="C24" s="7" t="n">
        <v>0.9</v>
      </c>
      <c r="D24" s="6" t="inlineStr">
        <is>
          <t>doc re-sent for chunking + card text</t>
        </is>
      </c>
    </row>
    <row r="25">
      <c r="A25" s="6" t="inlineStr">
        <is>
          <t>Generate quiz</t>
        </is>
      </c>
      <c r="B25" s="7" t="n">
        <v>2</v>
      </c>
      <c r="C25" s="7" t="n">
        <v>1</v>
      </c>
      <c r="D25" s="6" t="inlineStr">
        <is>
          <t>doc + questions + explanations</t>
        </is>
      </c>
    </row>
    <row r="26">
      <c r="A26" s="6" t="inlineStr">
        <is>
          <t>Study All flashcards (folder)</t>
        </is>
      </c>
      <c r="B26" s="7" t="n">
        <v>1.5</v>
      </c>
      <c r="C26" s="7" t="n">
        <v>0.9</v>
      </c>
      <c r="D26" s="6" t="inlineStr">
        <is>
          <t>per doc, x docs per folder</t>
        </is>
      </c>
    </row>
    <row r="27">
      <c r="A27" s="6" t="inlineStr">
        <is>
          <t>Study All quiz (folder)</t>
        </is>
      </c>
      <c r="B27" s="7" t="n">
        <v>2</v>
      </c>
      <c r="C27" s="7" t="n">
        <v>1</v>
      </c>
      <c r="D27" s="6" t="inlineStr">
        <is>
          <t>per doc, x docs per folder</t>
        </is>
      </c>
    </row>
    <row r="28">
      <c r="A28" s="6" t="inlineStr">
        <is>
          <t>Essay grading</t>
        </is>
      </c>
      <c r="B28" s="7" t="n">
        <v>1.5</v>
      </c>
      <c r="C28" s="7" t="n">
        <v>0.7</v>
      </c>
      <c r="D28" s="6" t="inlineStr">
        <is>
          <t>essay + rubric + feedback</t>
        </is>
      </c>
    </row>
    <row r="29">
      <c r="A29" s="6" t="inlineStr">
        <is>
          <t>Docs per folder</t>
        </is>
      </c>
      <c r="B29" s="7" t="n">
        <v>5</v>
      </c>
      <c r="C29" s="6" t="inlineStr">
        <is>
          <t>folder actions multiply by this</t>
        </is>
      </c>
    </row>
    <row r="30">
      <c r="A30" s="3" t="inlineStr">
        <is>
          <t>Lifetime page views per generated asset</t>
        </is>
      </c>
      <c r="B30" s="4" t="n"/>
      <c r="C30" s="4" t="n"/>
    </row>
    <row r="31">
      <c r="A31" s="5" t="inlineStr">
        <is>
          <t>Action</t>
        </is>
      </c>
      <c r="B31" s="5" t="inlineStr">
        <is>
          <t>Views</t>
        </is>
      </c>
      <c r="C31" s="5" t="inlineStr">
        <is>
          <t>Notes</t>
        </is>
      </c>
    </row>
    <row r="32">
      <c r="A32" s="6" t="inlineStr">
        <is>
          <t>Create note</t>
        </is>
      </c>
      <c r="B32" s="7" t="n">
        <v>12</v>
      </c>
      <c r="C32" s="6" t="inlineStr">
        <is>
          <t>reopened while studying</t>
        </is>
      </c>
    </row>
    <row r="33">
      <c r="A33" s="6" t="inlineStr">
        <is>
          <t>Generate flashcards</t>
        </is>
      </c>
      <c r="B33" s="7" t="n">
        <v>15</v>
      </c>
      <c r="C33" s="6" t="inlineStr">
        <is>
          <t>drilled repeatedly before exams</t>
        </is>
      </c>
    </row>
    <row r="34">
      <c r="A34" s="6" t="inlineStr">
        <is>
          <t>Generate quiz</t>
        </is>
      </c>
      <c r="B34" s="7" t="n">
        <v>4</v>
      </c>
      <c r="C34" s="6" t="inlineStr">
        <is>
          <t>retake attempts</t>
        </is>
      </c>
    </row>
    <row r="35">
      <c r="A35" s="6" t="inlineStr">
        <is>
          <t>Study All flashcards (folder)</t>
        </is>
      </c>
      <c r="B35" s="7" t="n">
        <v>15</v>
      </c>
      <c r="C35" s="6" t="inlineStr">
        <is>
          <t>folder drills</t>
        </is>
      </c>
    </row>
    <row r="36">
      <c r="A36" s="6" t="inlineStr">
        <is>
          <t>Study All quiz (folder)</t>
        </is>
      </c>
      <c r="B36" s="7" t="n">
        <v>4</v>
      </c>
      <c r="C36" s="6" t="inlineStr">
        <is>
          <t>folder retakes</t>
        </is>
      </c>
    </row>
    <row r="37">
      <c r="A37" s="6" t="inlineStr">
        <is>
          <t>Essay grading</t>
        </is>
      </c>
      <c r="B37" s="7" t="n">
        <v>2</v>
      </c>
      <c r="C37" s="6" t="inlineStr">
        <is>
          <t>grade + one review</t>
        </is>
      </c>
    </row>
    <row r="38">
      <c r="A38" s="3" t="inlineStr">
        <is>
          <t>Ad revenue (Google Ads, CPM range $2.00 - $8.00)</t>
        </is>
      </c>
      <c r="B38" s="4" t="n"/>
      <c r="C38" s="4" t="n"/>
    </row>
    <row r="39">
      <c r="A39" s="5" t="inlineStr">
        <is>
          <t>Parameter</t>
        </is>
      </c>
      <c r="B39" s="5" t="inlineStr">
        <is>
          <t>Value</t>
        </is>
      </c>
      <c r="C39" s="5" t="inlineStr">
        <is>
          <t>Notes</t>
        </is>
      </c>
    </row>
    <row r="40">
      <c r="A40" s="6" t="inlineStr">
        <is>
          <t>Ad slots per page</t>
        </is>
      </c>
      <c r="B40" s="7" t="n">
        <v>2</v>
      </c>
      <c r="C40" s="6" t="inlineStr">
        <is>
          <t>no rotation: 1 action = 1 page view</t>
        </is>
      </c>
    </row>
    <row r="41">
      <c r="A41" s="6" t="inlineStr">
        <is>
          <t>CPM low ($)</t>
        </is>
      </c>
      <c r="B41" s="7" t="n">
        <v>2</v>
      </c>
    </row>
    <row r="42">
      <c r="A42" s="6" t="inlineStr">
        <is>
          <t>CPM high ($)</t>
        </is>
      </c>
      <c r="B42" s="7" t="n">
        <v>8</v>
      </c>
    </row>
    <row r="43">
      <c r="A43" s="6" t="inlineStr">
        <is>
          <t>Viewability standard</t>
        </is>
      </c>
      <c r="B43" s="7" t="n">
        <v>0.6</v>
      </c>
    </row>
    <row r="44">
      <c r="A44" s="6" t="inlineStr">
        <is>
          <t>Viewability sticky</t>
        </is>
      </c>
      <c r="B44" s="7" t="n">
        <v>0.95</v>
      </c>
    </row>
    <row r="45">
      <c r="A45" s="6" t="inlineStr">
        <is>
          <t>Ad block rate</t>
        </is>
      </c>
      <c r="B45" s="7" t="n">
        <v>0.3</v>
      </c>
    </row>
    <row r="46">
      <c r="A46" s="6" t="inlineStr">
        <is>
          <t>Use sticky viewability? (TRUE/FALSE)</t>
        </is>
      </c>
      <c r="B46" s="7" t="b">
        <v>1</v>
      </c>
    </row>
    <row r="47">
      <c r="A47" s="3" t="inlineStr">
        <is>
          <t>Hosting &amp; infrastructure</t>
        </is>
      </c>
      <c r="B47" s="4" t="n"/>
      <c r="C47" s="4" t="n"/>
    </row>
    <row r="48">
      <c r="A48" s="5" t="inlineStr">
        <is>
          <t>Parameter</t>
        </is>
      </c>
      <c r="B48" s="5" t="inlineStr">
        <is>
          <t>Value</t>
        </is>
      </c>
      <c r="C48" s="5" t="inlineStr">
        <is>
          <t>Notes</t>
        </is>
      </c>
    </row>
    <row r="49">
      <c r="A49" s="6" t="inlineStr">
        <is>
          <t>Fixed hosting ($/mo)</t>
        </is>
      </c>
      <c r="B49" s="7" t="n">
        <v>20</v>
      </c>
      <c r="C49" s="6" t="inlineStr">
        <is>
          <t>CDN + app server + DB base</t>
        </is>
      </c>
    </row>
    <row r="50">
      <c r="A50" s="6" t="inlineStr">
        <is>
          <t>Variable hosting ($/MAU/mo)</t>
        </is>
      </c>
      <c r="B50" s="7" t="n">
        <v>0.005</v>
      </c>
      <c r="C50" s="6" t="inlineStr">
        <is>
          <t>storage + bandwidth + DB per active user</t>
        </is>
      </c>
    </row>
    <row r="51">
      <c r="A51" s="3" t="inlineStr">
        <is>
          <t>Usage per tier (chat removed)</t>
        </is>
      </c>
      <c r="B51" s="4" t="n"/>
      <c r="C51" s="4" t="n"/>
      <c r="D51" s="4" t="n"/>
    </row>
    <row r="52">
      <c r="A52" s="5" t="inlineStr">
        <is>
          <t>Tier</t>
        </is>
      </c>
      <c r="B52" s="5" t="inlineStr">
        <is>
          <t>Actions/day</t>
        </is>
      </c>
      <c r="C52" s="5" t="inlineStr">
        <is>
          <t>Days/month</t>
        </is>
      </c>
      <c r="D52" s="5" t="inlineStr">
        <is>
          <t>Free actions/day (games)</t>
        </is>
      </c>
    </row>
    <row r="53">
      <c r="A53" s="6" t="inlineStr">
        <is>
          <t>Heavy (3+ courses)</t>
        </is>
      </c>
      <c r="B53" s="7" t="n">
        <v>12</v>
      </c>
      <c r="C53" s="7" t="n">
        <v>25</v>
      </c>
      <c r="D53" s="7" t="n">
        <v>3</v>
      </c>
    </row>
    <row r="54">
      <c r="A54" s="6" t="inlineStr">
        <is>
          <t>Moderate (2-3 courses)</t>
        </is>
      </c>
      <c r="B54" s="7" t="n">
        <v>5</v>
      </c>
      <c r="C54" s="7" t="n">
        <v>20</v>
      </c>
      <c r="D54" s="7" t="n">
        <v>2</v>
      </c>
    </row>
    <row r="55">
      <c r="A55" s="6" t="inlineStr">
        <is>
          <t>Light (1-2 courses)</t>
        </is>
      </c>
      <c r="B55" s="7" t="n">
        <v>2</v>
      </c>
      <c r="C55" s="7" t="n">
        <v>15</v>
      </c>
      <c r="D55" s="7" t="n">
        <v>1</v>
      </c>
    </row>
    <row r="56">
      <c r="A56" s="6" t="inlineStr">
        <is>
          <t>Casual</t>
        </is>
      </c>
      <c r="B56" s="7" t="n">
        <v>0.5</v>
      </c>
      <c r="C56" s="7" t="n">
        <v>10</v>
      </c>
      <c r="D56" s="7" t="n">
        <v>0.5</v>
      </c>
    </row>
    <row r="57">
      <c r="A57" s="3" t="inlineStr">
        <is>
          <t>Computed</t>
        </is>
      </c>
      <c r="B57" s="4" t="n"/>
      <c r="C57" s="4" t="n"/>
    </row>
    <row r="58">
      <c r="A58" s="5" t="inlineStr">
        <is>
          <t>Metric</t>
        </is>
      </c>
      <c r="B58" s="5" t="inlineStr">
        <is>
          <t>Value</t>
        </is>
      </c>
      <c r="C58" s="5" t="inlineStr">
        <is>
          <t>Formula</t>
        </is>
      </c>
    </row>
    <row r="59">
      <c r="A59" s="6" t="inlineStr">
        <is>
          <t>Effective input price ($/1M)</t>
        </is>
      </c>
      <c r="B59" s="8">
        <f>B5*(1-B8)+B6*B8</f>
        <v/>
      </c>
      <c r="C59" s="6" t="inlineStr">
        <is>
          <t>blend of cache miss/hit</t>
        </is>
      </c>
    </row>
    <row r="60">
      <c r="A60" s="6" t="inlineStr">
        <is>
          <t>Revenue per PAGE VIEW at CPM low</t>
        </is>
      </c>
      <c r="B60" s="8">
        <f>IF(B46,B41*B44,B41*B43)*(1-B45)*B40/1000</f>
        <v/>
      </c>
    </row>
    <row r="61">
      <c r="A61" s="6" t="inlineStr">
        <is>
          <t>Revenue per PAGE VIEW at CPM high</t>
        </is>
      </c>
      <c r="B61" s="8">
        <f>IF(B46,B42*B44,B42*B43)*(1-B45)*B40/1000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2" max="12"/>
    <col width="16" customWidth="1" min="16" max="16"/>
    <col width="28" customWidth="1" min="28" max="28"/>
  </cols>
  <sheetData>
    <row r="1">
      <c r="A1" s="1" t="inlineStr">
        <is>
          <t>AI cost per action by document length</t>
        </is>
      </c>
    </row>
    <row r="2">
      <c r="A2" s="2" t="inlineStr">
        <is>
          <t>Cost = (in-mult x doc-tokens x eff-input-price + out-mult x doc-tokens x output-price) / 1M. Folder actions x docs per folder.</t>
        </is>
      </c>
    </row>
    <row r="3">
      <c r="A3" s="5" t="inlineStr">
        <is>
          <t>Action</t>
        </is>
      </c>
      <c r="B3" s="5" t="inlineStr">
        <is>
          <t>Short</t>
        </is>
      </c>
      <c r="C3" s="5" t="inlineStr">
        <is>
          <t>Medium</t>
        </is>
      </c>
      <c r="D3" s="5" t="inlineStr">
        <is>
          <t>Long</t>
        </is>
      </c>
      <c r="E3" s="5" t="inlineStr">
        <is>
          <t>Slides</t>
        </is>
      </c>
      <c r="F3" s="5" t="inlineStr">
        <is>
          <t>Weighted avg</t>
        </is>
      </c>
    </row>
    <row r="4">
      <c r="A4" s="6" t="inlineStr">
        <is>
          <t>Create note</t>
        </is>
      </c>
      <c r="B4" s="8">
        <f>(Assumptions!B23*Assumptions!B11*Assumptions!B59+Assumptions!C23*Assumptions!B11*Assumptions!B7)/1000000</f>
        <v/>
      </c>
      <c r="C4" s="8">
        <f>(Assumptions!B23*Assumptions!B12*Assumptions!B59+Assumptions!C23*Assumptions!B12*Assumptions!B7)/1000000</f>
        <v/>
      </c>
      <c r="D4" s="8">
        <f>(Assumptions!B23*Assumptions!B13*Assumptions!B59+Assumptions!C23*Assumptions!B13*Assumptions!B7)/1000000</f>
        <v/>
      </c>
      <c r="E4" s="8">
        <f>(Assumptions!B23*Assumptions!B14*Assumptions!B59+Assumptions!C23*Assumptions!B14*Assumptions!B7)/1000000</f>
        <v/>
      </c>
      <c r="F4" s="9">
        <f>B4*Assumptions!B17+C4*Assumptions!B18+D4*Assumptions!B19+E4*Assumptions!B20</f>
        <v/>
      </c>
    </row>
    <row r="5">
      <c r="A5" s="6" t="inlineStr">
        <is>
          <t>Generate flashcards</t>
        </is>
      </c>
      <c r="B5" s="8">
        <f>(Assumptions!B24*Assumptions!B11*Assumptions!B59+Assumptions!C24*Assumptions!B11*Assumptions!B7)/1000000</f>
        <v/>
      </c>
      <c r="C5" s="8">
        <f>(Assumptions!B24*Assumptions!B12*Assumptions!B59+Assumptions!C24*Assumptions!B12*Assumptions!B7)/1000000</f>
        <v/>
      </c>
      <c r="D5" s="8">
        <f>(Assumptions!B24*Assumptions!B13*Assumptions!B59+Assumptions!C24*Assumptions!B13*Assumptions!B7)/1000000</f>
        <v/>
      </c>
      <c r="E5" s="8">
        <f>(Assumptions!B24*Assumptions!B14*Assumptions!B59+Assumptions!C24*Assumptions!B14*Assumptions!B7)/1000000</f>
        <v/>
      </c>
      <c r="F5" s="9">
        <f>B5*Assumptions!B17+C5*Assumptions!B18+D5*Assumptions!B19+E5*Assumptions!B20</f>
        <v/>
      </c>
    </row>
    <row r="6">
      <c r="A6" s="6" t="inlineStr">
        <is>
          <t>Generate quiz</t>
        </is>
      </c>
      <c r="B6" s="8">
        <f>(Assumptions!B25*Assumptions!B11*Assumptions!B59+Assumptions!C25*Assumptions!B11*Assumptions!B7)/1000000</f>
        <v/>
      </c>
      <c r="C6" s="8">
        <f>(Assumptions!B25*Assumptions!B12*Assumptions!B59+Assumptions!C25*Assumptions!B12*Assumptions!B7)/1000000</f>
        <v/>
      </c>
      <c r="D6" s="8">
        <f>(Assumptions!B25*Assumptions!B13*Assumptions!B59+Assumptions!C25*Assumptions!B13*Assumptions!B7)/1000000</f>
        <v/>
      </c>
      <c r="E6" s="8">
        <f>(Assumptions!B25*Assumptions!B14*Assumptions!B59+Assumptions!C25*Assumptions!B14*Assumptions!B7)/1000000</f>
        <v/>
      </c>
      <c r="F6" s="9">
        <f>B6*Assumptions!B17+C6*Assumptions!B18+D6*Assumptions!B19+E6*Assumptions!B20</f>
        <v/>
      </c>
    </row>
    <row r="7">
      <c r="A7" s="6" t="inlineStr">
        <is>
          <t>Study All flashcards (folder)</t>
        </is>
      </c>
      <c r="B7" s="8">
        <f>(Assumptions!B26*Assumptions!B11*Assumptions!B59+Assumptions!C26*Assumptions!B11*Assumptions!B7)/1000000*Assumptions!B29</f>
        <v/>
      </c>
      <c r="C7" s="8">
        <f>(Assumptions!B26*Assumptions!B12*Assumptions!B59+Assumptions!C26*Assumptions!B12*Assumptions!B7)/1000000*Assumptions!B29</f>
        <v/>
      </c>
      <c r="D7" s="8">
        <f>(Assumptions!B26*Assumptions!B13*Assumptions!B59+Assumptions!C26*Assumptions!B13*Assumptions!B7)/1000000*Assumptions!B29</f>
        <v/>
      </c>
      <c r="E7" s="8">
        <f>(Assumptions!B26*Assumptions!B14*Assumptions!B59+Assumptions!C26*Assumptions!B14*Assumptions!B7)/1000000*Assumptions!B29</f>
        <v/>
      </c>
      <c r="F7" s="9">
        <f>B7*Assumptions!B17+C7*Assumptions!B18+D7*Assumptions!B19+E7*Assumptions!B20</f>
        <v/>
      </c>
    </row>
    <row r="8">
      <c r="A8" s="6" t="inlineStr">
        <is>
          <t>Study All quiz (folder)</t>
        </is>
      </c>
      <c r="B8" s="8">
        <f>(Assumptions!B27*Assumptions!B11*Assumptions!B59+Assumptions!C27*Assumptions!B11*Assumptions!B7)/1000000*Assumptions!B29</f>
        <v/>
      </c>
      <c r="C8" s="8">
        <f>(Assumptions!B27*Assumptions!B12*Assumptions!B59+Assumptions!C27*Assumptions!B12*Assumptions!B7)/1000000*Assumptions!B29</f>
        <v/>
      </c>
      <c r="D8" s="8">
        <f>(Assumptions!B27*Assumptions!B13*Assumptions!B59+Assumptions!C27*Assumptions!B13*Assumptions!B7)/1000000*Assumptions!B29</f>
        <v/>
      </c>
      <c r="E8" s="8">
        <f>(Assumptions!B27*Assumptions!B14*Assumptions!B59+Assumptions!C27*Assumptions!B14*Assumptions!B7)/1000000*Assumptions!B29</f>
        <v/>
      </c>
      <c r="F8" s="9">
        <f>B8*Assumptions!B17+C8*Assumptions!B18+D8*Assumptions!B19+E8*Assumptions!B20</f>
        <v/>
      </c>
    </row>
    <row r="9">
      <c r="A9" s="6" t="inlineStr">
        <is>
          <t>Essay grading</t>
        </is>
      </c>
      <c r="B9" s="8">
        <f>(Assumptions!B28*Assumptions!B11*Assumptions!B59+Assumptions!C28*Assumptions!B11*Assumptions!B7)/1000000</f>
        <v/>
      </c>
      <c r="C9" s="8">
        <f>(Assumptions!B28*Assumptions!B12*Assumptions!B59+Assumptions!C28*Assumptions!B12*Assumptions!B7)/1000000</f>
        <v/>
      </c>
      <c r="D9" s="8">
        <f>(Assumptions!B28*Assumptions!B13*Assumptions!B59+Assumptions!C28*Assumptions!B13*Assumptions!B7)/1000000</f>
        <v/>
      </c>
      <c r="E9" s="8">
        <f>(Assumptions!B28*Assumptions!B14*Assumptions!B59+Assumptions!C28*Assumptions!B14*Assumptions!B7)/1000000</f>
        <v/>
      </c>
      <c r="F9" s="9">
        <f>B9*Assumptions!B17+C9*Assumptions!B18+D9*Assumptions!B19+E9*Assumptions!B20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2" customWidth="1" min="12" max="12"/>
    <col width="14" customWidth="1" min="14" max="14"/>
    <col width="18" customWidth="1" min="18" max="18"/>
    <col width="28" customWidth="1" min="28" max="28"/>
  </cols>
  <sheetData>
    <row r="1">
      <c r="A1" s="1" t="inlineStr">
        <is>
          <t>Unit economics per action (CPM $2 vs $8)</t>
        </is>
      </c>
    </row>
    <row r="2">
      <c r="A2" s="2" t="inlineStr">
        <is>
          <t>Weighted avg cost across upload mix. Revenue per action is flat across actions (1:1 action-to-ad).</t>
        </is>
      </c>
    </row>
    <row r="3">
      <c r="A3" s="5" t="inlineStr">
        <is>
          <t>Action</t>
        </is>
      </c>
      <c r="B3" s="5" t="inlineStr">
        <is>
          <t>Avg cost</t>
        </is>
      </c>
      <c r="C3" s="5" t="inlineStr">
        <is>
          <t>Revenue @$2</t>
        </is>
      </c>
      <c r="D3" s="5" t="inlineStr">
        <is>
          <t>Revenue @$8</t>
        </is>
      </c>
      <c r="E3" s="5" t="inlineStr">
        <is>
          <t>Profit @$2</t>
        </is>
      </c>
      <c r="F3" s="5" t="inlineStr">
        <is>
          <t>Profit @$8</t>
        </is>
      </c>
      <c r="G3" s="5" t="inlineStr">
        <is>
          <t>Break-even CPM ($)</t>
        </is>
      </c>
    </row>
    <row r="4">
      <c r="A4" s="6" t="inlineStr">
        <is>
          <t>Create note</t>
        </is>
      </c>
      <c r="B4" s="8">
        <f>'Cost Per Action'!F4</f>
        <v/>
      </c>
      <c r="C4" s="8">
        <f>Assumptions!B32*Assumptions!B60</f>
        <v/>
      </c>
      <c r="D4" s="8">
        <f>Assumptions!B32*Assumptions!B61</f>
        <v/>
      </c>
      <c r="E4" s="9">
        <f>C4-B4</f>
        <v/>
      </c>
      <c r="F4" s="9">
        <f>D4-B4</f>
        <v/>
      </c>
      <c r="G4" s="8">
        <f>B4*1000/(Assumptions!B32*Assumptions!B40*IF(Assumptions!B46,Assumptions!B44,Assumptions!B43)*(1-Assumptions!B45))</f>
        <v/>
      </c>
    </row>
    <row r="5">
      <c r="A5" s="6" t="inlineStr">
        <is>
          <t>Generate flashcards</t>
        </is>
      </c>
      <c r="B5" s="8">
        <f>'Cost Per Action'!F5</f>
        <v/>
      </c>
      <c r="C5" s="8">
        <f>Assumptions!B33*Assumptions!B60</f>
        <v/>
      </c>
      <c r="D5" s="8">
        <f>Assumptions!B33*Assumptions!B61</f>
        <v/>
      </c>
      <c r="E5" s="9">
        <f>C5-B5</f>
        <v/>
      </c>
      <c r="F5" s="9">
        <f>D5-B5</f>
        <v/>
      </c>
      <c r="G5" s="8">
        <f>B5*1000/(Assumptions!B33*Assumptions!B40*IF(Assumptions!B46,Assumptions!B44,Assumptions!B43)*(1-Assumptions!B45))</f>
        <v/>
      </c>
    </row>
    <row r="6">
      <c r="A6" s="6" t="inlineStr">
        <is>
          <t>Generate quiz</t>
        </is>
      </c>
      <c r="B6" s="8">
        <f>'Cost Per Action'!F6</f>
        <v/>
      </c>
      <c r="C6" s="8">
        <f>Assumptions!B34*Assumptions!B60</f>
        <v/>
      </c>
      <c r="D6" s="8">
        <f>Assumptions!B34*Assumptions!B61</f>
        <v/>
      </c>
      <c r="E6" s="9">
        <f>C6-B6</f>
        <v/>
      </c>
      <c r="F6" s="9">
        <f>D6-B6</f>
        <v/>
      </c>
      <c r="G6" s="8">
        <f>B6*1000/(Assumptions!B34*Assumptions!B40*IF(Assumptions!B46,Assumptions!B44,Assumptions!B43)*(1-Assumptions!B45))</f>
        <v/>
      </c>
    </row>
    <row r="7">
      <c r="A7" s="6" t="inlineStr">
        <is>
          <t>Study All flashcards (folder)</t>
        </is>
      </c>
      <c r="B7" s="8">
        <f>'Cost Per Action'!F7</f>
        <v/>
      </c>
      <c r="C7" s="8">
        <f>Assumptions!B35*Assumptions!B60</f>
        <v/>
      </c>
      <c r="D7" s="8">
        <f>Assumptions!B35*Assumptions!B61</f>
        <v/>
      </c>
      <c r="E7" s="9">
        <f>C7-B7</f>
        <v/>
      </c>
      <c r="F7" s="9">
        <f>D7-B7</f>
        <v/>
      </c>
      <c r="G7" s="8">
        <f>B7*1000/(Assumptions!B35*Assumptions!B40*IF(Assumptions!B46,Assumptions!B44,Assumptions!B43)*(1-Assumptions!B45))</f>
        <v/>
      </c>
    </row>
    <row r="8">
      <c r="A8" s="6" t="inlineStr">
        <is>
          <t>Study All quiz (folder)</t>
        </is>
      </c>
      <c r="B8" s="8">
        <f>'Cost Per Action'!F8</f>
        <v/>
      </c>
      <c r="C8" s="8">
        <f>Assumptions!B36*Assumptions!B60</f>
        <v/>
      </c>
      <c r="D8" s="8">
        <f>Assumptions!B36*Assumptions!B61</f>
        <v/>
      </c>
      <c r="E8" s="9">
        <f>C8-B8</f>
        <v/>
      </c>
      <c r="F8" s="9">
        <f>D8-B8</f>
        <v/>
      </c>
      <c r="G8" s="8">
        <f>B8*1000/(Assumptions!B36*Assumptions!B40*IF(Assumptions!B46,Assumptions!B44,Assumptions!B43)*(1-Assumptions!B45))</f>
        <v/>
      </c>
    </row>
    <row r="9">
      <c r="A9" s="6" t="inlineStr">
        <is>
          <t>Essay grading</t>
        </is>
      </c>
      <c r="B9" s="8">
        <f>'Cost Per Action'!F9</f>
        <v/>
      </c>
      <c r="C9" s="8">
        <f>Assumptions!B37*Assumptions!B60</f>
        <v/>
      </c>
      <c r="D9" s="8">
        <f>Assumptions!B37*Assumptions!B61</f>
        <v/>
      </c>
      <c r="E9" s="9">
        <f>C9-B9</f>
        <v/>
      </c>
      <c r="F9" s="9">
        <f>D9-B9</f>
        <v/>
      </c>
      <c r="G9" s="8">
        <f>B9*1000/(Assumptions!B37*Assumptions!B40*IF(Assumptions!B46,Assumptions!B44,Assumptions!B43)*(1-Assumptions!B45))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2" customWidth="1" min="12" max="12"/>
    <col width="28" customWidth="1" min="28" max="28"/>
  </cols>
  <sheetData>
    <row r="1">
      <c r="A1" s="1" t="inlineStr">
        <is>
          <t>Action mix - share of daily paid actions by tier</t>
        </is>
      </c>
    </row>
    <row r="3">
      <c r="A3" s="5" t="inlineStr">
        <is>
          <t>Action</t>
        </is>
      </c>
      <c r="B3" s="5" t="inlineStr">
        <is>
          <t>Heavy</t>
        </is>
      </c>
      <c r="C3" s="5" t="inlineStr">
        <is>
          <t>Moderate</t>
        </is>
      </c>
      <c r="D3" s="5" t="inlineStr">
        <is>
          <t>Light/Casual</t>
        </is>
      </c>
    </row>
    <row r="4">
      <c r="A4" s="6" t="inlineStr">
        <is>
          <t>Create note</t>
        </is>
      </c>
      <c r="B4" s="7" t="n">
        <v>0.1</v>
      </c>
      <c r="C4" s="7" t="n">
        <v>0.1</v>
      </c>
      <c r="D4" s="7" t="n">
        <v>0.15</v>
      </c>
    </row>
    <row r="5">
      <c r="A5" s="6" t="inlineStr">
        <is>
          <t>Generate flashcards</t>
        </is>
      </c>
      <c r="B5" s="7" t="n">
        <v>0.15</v>
      </c>
      <c r="C5" s="7" t="n">
        <v>0.15</v>
      </c>
      <c r="D5" s="7" t="n">
        <v>0.2</v>
      </c>
    </row>
    <row r="6">
      <c r="A6" s="6" t="inlineStr">
        <is>
          <t>Generate quiz</t>
        </is>
      </c>
      <c r="B6" s="7" t="n">
        <v>0.1</v>
      </c>
      <c r="C6" s="7" t="n">
        <v>0.1</v>
      </c>
      <c r="D6" s="7" t="n">
        <v>0.1</v>
      </c>
    </row>
    <row r="7">
      <c r="A7" s="6" t="inlineStr">
        <is>
          <t>Study All flashcards</t>
        </is>
      </c>
      <c r="B7" s="7" t="n">
        <v>0.2</v>
      </c>
      <c r="C7" s="7" t="n">
        <v>0.2</v>
      </c>
      <c r="D7" s="7" t="n">
        <v>0.15</v>
      </c>
    </row>
    <row r="8">
      <c r="A8" s="6" t="inlineStr">
        <is>
          <t>Study All quiz</t>
        </is>
      </c>
      <c r="B8" s="7" t="n">
        <v>0.15</v>
      </c>
      <c r="C8" s="7" t="n">
        <v>0.15</v>
      </c>
      <c r="D8" s="7" t="n">
        <v>0.1</v>
      </c>
    </row>
    <row r="9">
      <c r="A9" s="6" t="inlineStr">
        <is>
          <t>Essay grading</t>
        </is>
      </c>
      <c r="B9" s="7" t="n">
        <v>0.1</v>
      </c>
      <c r="C9" s="7" t="n">
        <v>0.1</v>
      </c>
      <c r="D9" s="7" t="n">
        <v>0.1</v>
      </c>
    </row>
    <row r="10">
      <c r="A10" s="3" t="inlineStr">
        <is>
          <t>Total paid share</t>
        </is>
      </c>
      <c r="B10" s="8">
        <f>SUM(B4:B9)</f>
        <v/>
      </c>
      <c r="C10" s="8">
        <f>SUM(C4:C9)</f>
        <v/>
      </c>
      <c r="D10" s="8">
        <f>SUM(D4:D9)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2" customWidth="1" min="12" max="12"/>
    <col width="14" customWidth="1" min="14" max="14"/>
    <col width="28" customWidth="1" min="28" max="28"/>
  </cols>
  <sheetData>
    <row r="1">
      <c r="A1" s="1" t="inlineStr">
        <is>
          <t>Monthly P&amp;L per user tier (paid + free actions)</t>
        </is>
      </c>
    </row>
    <row r="3">
      <c r="A3" s="5" t="inlineStr">
        <is>
          <t>Tier</t>
        </is>
      </c>
      <c r="B3" s="5" t="inlineStr">
        <is>
          <t>Paid acts/mo</t>
        </is>
      </c>
      <c r="C3" s="5" t="inlineStr">
        <is>
          <t>Free acts/mo</t>
        </is>
      </c>
      <c r="D3" s="5" t="inlineStr">
        <is>
          <t>AI cost</t>
        </is>
      </c>
      <c r="E3" s="5" t="inlineStr">
        <is>
          <t>Revenue @$2</t>
        </is>
      </c>
      <c r="F3" s="5" t="inlineStr">
        <is>
          <t>Profit @$2</t>
        </is>
      </c>
      <c r="G3" s="5" t="inlineStr">
        <is>
          <t>Revenue @$8</t>
        </is>
      </c>
      <c r="H3" s="5" t="inlineStr">
        <is>
          <t>Profit @$8</t>
        </is>
      </c>
    </row>
    <row r="4">
      <c r="A4" s="6" t="inlineStr">
        <is>
          <t>Heavy (3+ courses)</t>
        </is>
      </c>
      <c r="B4" s="8">
        <f>Assumptions!B53*Assumptions!C53</f>
        <v/>
      </c>
      <c r="C4" s="8">
        <f>Assumptions!D53*Assumptions!C53</f>
        <v/>
      </c>
      <c r="D4" s="8">
        <f>B4*('Usage Mix'!B4*'Cost Per Action'!F4+'Usage Mix'!B5*'Cost Per Action'!F5+'Usage Mix'!B6*'Cost Per Action'!F6+'Usage Mix'!B7*'Cost Per Action'!F7+'Usage Mix'!B8*'Cost Per Action'!F8+'Usage Mix'!B9*'Cost Per Action'!F9)</f>
        <v/>
      </c>
      <c r="E4" s="8">
        <f>B4*('Usage Mix'!B4*Assumptions!B32+'Usage Mix'!B5*Assumptions!B33+'Usage Mix'!B6*Assumptions!B34+'Usage Mix'!B7*Assumptions!B35+'Usage Mix'!B8*Assumptions!B36+'Usage Mix'!B9*Assumptions!B37)*Assumptions!B60+C4*Assumptions!B60</f>
        <v/>
      </c>
      <c r="F4" s="9">
        <f>E4-D4</f>
        <v/>
      </c>
      <c r="G4" s="8">
        <f>B4*('Usage Mix'!B4*Assumptions!B32+'Usage Mix'!B5*Assumptions!B33+'Usage Mix'!B6*Assumptions!B34+'Usage Mix'!B7*Assumptions!B35+'Usage Mix'!B8*Assumptions!B36+'Usage Mix'!B9*Assumptions!B37)*Assumptions!B61+C4*Assumptions!B61</f>
        <v/>
      </c>
      <c r="H4" s="9">
        <f>G4-D4</f>
        <v/>
      </c>
    </row>
    <row r="5">
      <c r="A5" s="6" t="inlineStr">
        <is>
          <t>Moderate (2-3 courses)</t>
        </is>
      </c>
      <c r="B5" s="8">
        <f>Assumptions!B54*Assumptions!C54</f>
        <v/>
      </c>
      <c r="C5" s="8">
        <f>Assumptions!D54*Assumptions!C54</f>
        <v/>
      </c>
      <c r="D5" s="8">
        <f>B5*('Usage Mix'!C4*'Cost Per Action'!F4+'Usage Mix'!C5*'Cost Per Action'!F5+'Usage Mix'!C6*'Cost Per Action'!F6+'Usage Mix'!C7*'Cost Per Action'!F7+'Usage Mix'!C8*'Cost Per Action'!F8+'Usage Mix'!C9*'Cost Per Action'!F9)</f>
        <v/>
      </c>
      <c r="E5" s="8">
        <f>B5*('Usage Mix'!C4*Assumptions!B32+'Usage Mix'!C5*Assumptions!B33+'Usage Mix'!C6*Assumptions!B34+'Usage Mix'!C7*Assumptions!B35+'Usage Mix'!C8*Assumptions!B36+'Usage Mix'!C9*Assumptions!B37)*Assumptions!B60+C5*Assumptions!B60</f>
        <v/>
      </c>
      <c r="F5" s="9">
        <f>E5-D5</f>
        <v/>
      </c>
      <c r="G5" s="8">
        <f>B5*('Usage Mix'!C4*Assumptions!B32+'Usage Mix'!C5*Assumptions!B33+'Usage Mix'!C6*Assumptions!B34+'Usage Mix'!C7*Assumptions!B35+'Usage Mix'!C8*Assumptions!B36+'Usage Mix'!C9*Assumptions!B37)*Assumptions!B61+C5*Assumptions!B61</f>
        <v/>
      </c>
      <c r="H5" s="9">
        <f>G5-D5</f>
        <v/>
      </c>
    </row>
    <row r="6">
      <c r="A6" s="6" t="inlineStr">
        <is>
          <t>Light (1-2 courses)</t>
        </is>
      </c>
      <c r="B6" s="8">
        <f>Assumptions!B55*Assumptions!C55</f>
        <v/>
      </c>
      <c r="C6" s="8">
        <f>Assumptions!D55*Assumptions!C55</f>
        <v/>
      </c>
      <c r="D6" s="8">
        <f>B6*('Usage Mix'!D4*'Cost Per Action'!F4+'Usage Mix'!D5*'Cost Per Action'!F5+'Usage Mix'!D6*'Cost Per Action'!F6+'Usage Mix'!D7*'Cost Per Action'!F7+'Usage Mix'!D8*'Cost Per Action'!F8+'Usage Mix'!D9*'Cost Per Action'!F9)</f>
        <v/>
      </c>
      <c r="E6" s="8">
        <f>B6*('Usage Mix'!D4*Assumptions!B32+'Usage Mix'!D5*Assumptions!B33+'Usage Mix'!D6*Assumptions!B34+'Usage Mix'!D7*Assumptions!B35+'Usage Mix'!D8*Assumptions!B36+'Usage Mix'!D9*Assumptions!B37)*Assumptions!B60+C6*Assumptions!B60</f>
        <v/>
      </c>
      <c r="F6" s="9">
        <f>E6-D6</f>
        <v/>
      </c>
      <c r="G6" s="8">
        <f>B6*('Usage Mix'!D4*Assumptions!B32+'Usage Mix'!D5*Assumptions!B33+'Usage Mix'!D6*Assumptions!B34+'Usage Mix'!D7*Assumptions!B35+'Usage Mix'!D8*Assumptions!B36+'Usage Mix'!D9*Assumptions!B37)*Assumptions!B61+C6*Assumptions!B61</f>
        <v/>
      </c>
      <c r="H6" s="9">
        <f>G6-D6</f>
        <v/>
      </c>
    </row>
    <row r="7">
      <c r="A7" s="6" t="inlineStr">
        <is>
          <t>Casual</t>
        </is>
      </c>
      <c r="B7" s="8">
        <f>Assumptions!B56*Assumptions!C56</f>
        <v/>
      </c>
      <c r="C7" s="8">
        <f>Assumptions!D56*Assumptions!C56</f>
        <v/>
      </c>
      <c r="D7" s="8">
        <f>B7*('Usage Mix'!D4*'Cost Per Action'!F4+'Usage Mix'!D5*'Cost Per Action'!F5+'Usage Mix'!D6*'Cost Per Action'!F6+'Usage Mix'!D7*'Cost Per Action'!F7+'Usage Mix'!D8*'Cost Per Action'!F8+'Usage Mix'!D9*'Cost Per Action'!F9)</f>
        <v/>
      </c>
      <c r="E7" s="8">
        <f>B7*('Usage Mix'!D4*Assumptions!B32+'Usage Mix'!D5*Assumptions!B33+'Usage Mix'!D6*Assumptions!B34+'Usage Mix'!D7*Assumptions!B35+'Usage Mix'!D8*Assumptions!B36+'Usage Mix'!D9*Assumptions!B37)*Assumptions!B60+C7*Assumptions!B60</f>
        <v/>
      </c>
      <c r="F7" s="9">
        <f>E7-D7</f>
        <v/>
      </c>
      <c r="G7" s="8">
        <f>B7*('Usage Mix'!D4*Assumptions!B32+'Usage Mix'!D5*Assumptions!B33+'Usage Mix'!D6*Assumptions!B34+'Usage Mix'!D7*Assumptions!B35+'Usage Mix'!D8*Assumptions!B36+'Usage Mix'!D9*Assumptions!B37)*Assumptions!B61+C7*Assumptions!B61</f>
        <v/>
      </c>
      <c r="H7" s="9">
        <f>G7-D7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12" customWidth="1" min="12" max="12"/>
    <col width="14" customWidth="1" min="14" max="14"/>
    <col width="22" customWidth="1" min="22" max="22"/>
  </cols>
  <sheetData>
    <row r="1">
      <c r="A1" s="1" t="inlineStr">
        <is>
          <t>Scale model - total business P&amp;L</t>
        </is>
      </c>
    </row>
    <row r="2">
      <c r="A2" s="2" t="inlineStr">
        <is>
          <t>Profit = ad revenue - AI cost - hosting &amp; infra.</t>
        </is>
      </c>
    </row>
    <row r="3">
      <c r="A3" s="5" t="inlineStr"/>
      <c r="B3" s="5" t="inlineStr">
        <is>
          <t>Heavy</t>
        </is>
      </c>
      <c r="C3" s="5" t="inlineStr">
        <is>
          <t>Moderate</t>
        </is>
      </c>
      <c r="D3" s="5" t="inlineStr">
        <is>
          <t>Light</t>
        </is>
      </c>
      <c r="E3" s="5" t="inlineStr">
        <is>
          <t>Casual</t>
        </is>
      </c>
      <c r="F3" s="5" t="inlineStr">
        <is>
          <t>AI cost</t>
        </is>
      </c>
      <c r="G3" s="5" t="inlineStr">
        <is>
          <t>Rev @$2</t>
        </is>
      </c>
      <c r="H3" s="5" t="inlineStr">
        <is>
          <t>Profit @$2</t>
        </is>
      </c>
      <c r="I3" s="5" t="inlineStr">
        <is>
          <t>Rev @$8</t>
        </is>
      </c>
      <c r="J3" s="5" t="inlineStr">
        <is>
          <t>Profit @$8</t>
        </is>
      </c>
    </row>
    <row r="5">
      <c r="A5" s="5" t="inlineStr">
        <is>
          <t>Users (editable)</t>
        </is>
      </c>
      <c r="B5" s="10" t="n">
        <v>500</v>
      </c>
      <c r="C5" s="10" t="n">
        <v>1500</v>
      </c>
      <c r="D5" s="10" t="n">
        <v>4000</v>
      </c>
      <c r="E5" s="10" t="n">
        <v>10000</v>
      </c>
      <c r="F5" s="5" t="inlineStr"/>
      <c r="G5" s="5" t="inlineStr"/>
      <c r="H5" s="5" t="inlineStr"/>
      <c r="I5" s="5" t="inlineStr"/>
      <c r="J5" s="5" t="inlineStr"/>
    </row>
    <row r="7">
      <c r="A7" s="11" t="inlineStr">
        <is>
          <t>AI cost</t>
        </is>
      </c>
      <c r="F7" s="9">
        <f>'Per-User P&amp;L'!D4*B5+'Per-User P&amp;L'!D5*C5+'Per-User P&amp;L'!D6*D5+'Per-User P&amp;L'!D7*E5</f>
        <v/>
      </c>
    </row>
    <row r="8">
      <c r="A8" s="11" t="inlineStr">
        <is>
          <t>Hosting</t>
        </is>
      </c>
      <c r="F8" s="9">
        <f>Assumptions!B49+Assumptions!B50*SUM(B5:E5)</f>
        <v/>
      </c>
    </row>
    <row r="9">
      <c r="A9" s="11" t="inlineStr">
        <is>
          <t>Revenue @$2</t>
        </is>
      </c>
      <c r="F9" s="9">
        <f>'Per-User P&amp;L'!E4*B5+'Per-User P&amp;L'!E5*C5+'Per-User P&amp;L'!E6*D5+'Per-User P&amp;L'!E7*E5</f>
        <v/>
      </c>
    </row>
    <row r="10">
      <c r="A10" s="11" t="inlineStr">
        <is>
          <t>Profit @$2</t>
        </is>
      </c>
      <c r="F10" s="9">
        <f>F9-F7-F8</f>
        <v/>
      </c>
    </row>
    <row r="11">
      <c r="A11" s="11" t="inlineStr">
        <is>
          <t>Revenue @$8</t>
        </is>
      </c>
      <c r="F11" s="9">
        <f>'Per-User P&amp;L'!G4*B5+'Per-User P&amp;L'!G5*C5+'Per-User P&amp;L'!G6*D5+'Per-User P&amp;L'!G7*E5</f>
        <v/>
      </c>
    </row>
    <row r="12">
      <c r="A12" s="11" t="inlineStr">
        <is>
          <t>Profit @$8</t>
        </is>
      </c>
      <c r="F12" s="9">
        <f>F11-F7-F8</f>
        <v/>
      </c>
    </row>
    <row r="13">
      <c r="A13" s="6" t="inlineStr">
        <is>
          <t>Total users</t>
        </is>
      </c>
      <c r="F13" s="9">
        <f>SUM(B5:E5)</f>
        <v/>
      </c>
    </row>
    <row r="15">
      <c r="A15" s="3" t="inlineStr">
        <is>
          <t>12-month projection (5% monthly user growth)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5" t="inlineStr">
        <is>
          <t>Month</t>
        </is>
      </c>
      <c r="B16" s="5" t="inlineStr">
        <is>
          <t>Heavy</t>
        </is>
      </c>
      <c r="C16" s="5" t="inlineStr">
        <is>
          <t>Moderate</t>
        </is>
      </c>
      <c r="D16" s="5" t="inlineStr">
        <is>
          <t>Light</t>
        </is>
      </c>
      <c r="E16" s="5" t="inlineStr">
        <is>
          <t>Casual</t>
        </is>
      </c>
      <c r="F16" s="5" t="inlineStr">
        <is>
          <t>Net profit @$2</t>
        </is>
      </c>
      <c r="G16" s="5" t="inlineStr">
        <is>
          <t>Net profit @$8</t>
        </is>
      </c>
      <c r="H16" s="5" t="inlineStr">
        <is>
          <t>Rev @$8</t>
        </is>
      </c>
      <c r="I16" s="5" t="inlineStr"/>
    </row>
    <row r="17">
      <c r="A17" s="6" t="inlineStr">
        <is>
          <t>Month 1</t>
        </is>
      </c>
      <c r="B17" s="8">
        <f>B5</f>
        <v/>
      </c>
      <c r="C17" s="8">
        <f>C5</f>
        <v/>
      </c>
      <c r="D17" s="8">
        <f>D5</f>
        <v/>
      </c>
      <c r="E17" s="8">
        <f>E5</f>
        <v/>
      </c>
      <c r="F17" s="8">
        <f>'Per-User P&amp;L'!E4*B17+'Per-User P&amp;L'!E5*C17+'Per-User P&amp;L'!E6*D17+'Per-User P&amp;L'!E7*E17-'Per-User P&amp;L'!D4*B17+'Per-User P&amp;L'!D5*C17+'Per-User P&amp;L'!D6*D17+'Per-User P&amp;L'!D7*E17-(Assumptions!B49+Assumptions!B50*SUM(B17:E17))</f>
        <v/>
      </c>
      <c r="G17" s="8">
        <f>'Per-User P&amp;L'!G4*B17+'Per-User P&amp;L'!G5*C17+'Per-User P&amp;L'!G6*D17+'Per-User P&amp;L'!G7*E17-'Per-User P&amp;L'!D4*B17+'Per-User P&amp;L'!D5*C17+'Per-User P&amp;L'!D6*D17+'Per-User P&amp;L'!D7*E17-(Assumptions!B49+Assumptions!B50*SUM(B17:E17))</f>
        <v/>
      </c>
      <c r="H17" s="8">
        <f>'Per-User P&amp;L'!G4*B17+'Per-User P&amp;L'!G5*C17+'Per-User P&amp;L'!G6*D17+'Per-User P&amp;L'!G7*E17</f>
        <v/>
      </c>
    </row>
    <row r="18">
      <c r="A18" s="6" t="inlineStr">
        <is>
          <t>Month 2</t>
        </is>
      </c>
      <c r="B18" s="8">
        <f>B5*(1+0.05)^1</f>
        <v/>
      </c>
      <c r="C18" s="8">
        <f>C5*(1+0.05)^1</f>
        <v/>
      </c>
      <c r="D18" s="8">
        <f>D5*(1+0.05)^1</f>
        <v/>
      </c>
      <c r="E18" s="8">
        <f>E5*(1+0.05)^1</f>
        <v/>
      </c>
      <c r="F18" s="8">
        <f>'Per-User P&amp;L'!E4*B18+'Per-User P&amp;L'!E5*C18+'Per-User P&amp;L'!E6*D18+'Per-User P&amp;L'!E7*E18-'Per-User P&amp;L'!D4*B18+'Per-User P&amp;L'!D5*C18+'Per-User P&amp;L'!D6*D18+'Per-User P&amp;L'!D7*E18-(Assumptions!B49+Assumptions!B50*SUM(B18:E18))</f>
        <v/>
      </c>
      <c r="G18" s="8">
        <f>'Per-User P&amp;L'!G4*B18+'Per-User P&amp;L'!G5*C18+'Per-User P&amp;L'!G6*D18+'Per-User P&amp;L'!G7*E18-'Per-User P&amp;L'!D4*B18+'Per-User P&amp;L'!D5*C18+'Per-User P&amp;L'!D6*D18+'Per-User P&amp;L'!D7*E18-(Assumptions!B49+Assumptions!B50*SUM(B18:E18))</f>
        <v/>
      </c>
      <c r="H18" s="8">
        <f>'Per-User P&amp;L'!G4*B18+'Per-User P&amp;L'!G5*C18+'Per-User P&amp;L'!G6*D18+'Per-User P&amp;L'!G7*E18</f>
        <v/>
      </c>
    </row>
    <row r="19">
      <c r="A19" s="6" t="inlineStr">
        <is>
          <t>Month 3</t>
        </is>
      </c>
      <c r="B19" s="8">
        <f>B5*(1+0.05)^2</f>
        <v/>
      </c>
      <c r="C19" s="8">
        <f>C5*(1+0.05)^2</f>
        <v/>
      </c>
      <c r="D19" s="8">
        <f>D5*(1+0.05)^2</f>
        <v/>
      </c>
      <c r="E19" s="8">
        <f>E5*(1+0.05)^2</f>
        <v/>
      </c>
      <c r="F19" s="8">
        <f>'Per-User P&amp;L'!E4*B19+'Per-User P&amp;L'!E5*C19+'Per-User P&amp;L'!E6*D19+'Per-User P&amp;L'!E7*E19-'Per-User P&amp;L'!D4*B19+'Per-User P&amp;L'!D5*C19+'Per-User P&amp;L'!D6*D19+'Per-User P&amp;L'!D7*E19-(Assumptions!B49+Assumptions!B50*SUM(B19:E19))</f>
        <v/>
      </c>
      <c r="G19" s="8">
        <f>'Per-User P&amp;L'!G4*B19+'Per-User P&amp;L'!G5*C19+'Per-User P&amp;L'!G6*D19+'Per-User P&amp;L'!G7*E19-'Per-User P&amp;L'!D4*B19+'Per-User P&amp;L'!D5*C19+'Per-User P&amp;L'!D6*D19+'Per-User P&amp;L'!D7*E19-(Assumptions!B49+Assumptions!B50*SUM(B19:E19))</f>
        <v/>
      </c>
      <c r="H19" s="8">
        <f>'Per-User P&amp;L'!G4*B19+'Per-User P&amp;L'!G5*C19+'Per-User P&amp;L'!G6*D19+'Per-User P&amp;L'!G7*E19</f>
        <v/>
      </c>
    </row>
    <row r="20">
      <c r="A20" s="6" t="inlineStr">
        <is>
          <t>Month 4</t>
        </is>
      </c>
      <c r="B20" s="8">
        <f>B5*(1+0.05)^3</f>
        <v/>
      </c>
      <c r="C20" s="8">
        <f>C5*(1+0.05)^3</f>
        <v/>
      </c>
      <c r="D20" s="8">
        <f>D5*(1+0.05)^3</f>
        <v/>
      </c>
      <c r="E20" s="8">
        <f>E5*(1+0.05)^3</f>
        <v/>
      </c>
      <c r="F20" s="8">
        <f>'Per-User P&amp;L'!E4*B20+'Per-User P&amp;L'!E5*C20+'Per-User P&amp;L'!E6*D20+'Per-User P&amp;L'!E7*E20-'Per-User P&amp;L'!D4*B20+'Per-User P&amp;L'!D5*C20+'Per-User P&amp;L'!D6*D20+'Per-User P&amp;L'!D7*E20-(Assumptions!B49+Assumptions!B50*SUM(B20:E20))</f>
        <v/>
      </c>
      <c r="G20" s="8">
        <f>'Per-User P&amp;L'!G4*B20+'Per-User P&amp;L'!G5*C20+'Per-User P&amp;L'!G6*D20+'Per-User P&amp;L'!G7*E20-'Per-User P&amp;L'!D4*B20+'Per-User P&amp;L'!D5*C20+'Per-User P&amp;L'!D6*D20+'Per-User P&amp;L'!D7*E20-(Assumptions!B49+Assumptions!B50*SUM(B20:E20))</f>
        <v/>
      </c>
      <c r="H20" s="8">
        <f>'Per-User P&amp;L'!G4*B20+'Per-User P&amp;L'!G5*C20+'Per-User P&amp;L'!G6*D20+'Per-User P&amp;L'!G7*E20</f>
        <v/>
      </c>
    </row>
    <row r="21">
      <c r="A21" s="6" t="inlineStr">
        <is>
          <t>Month 5</t>
        </is>
      </c>
      <c r="B21" s="8">
        <f>B5*(1+0.05)^4</f>
        <v/>
      </c>
      <c r="C21" s="8">
        <f>C5*(1+0.05)^4</f>
        <v/>
      </c>
      <c r="D21" s="8">
        <f>D5*(1+0.05)^4</f>
        <v/>
      </c>
      <c r="E21" s="8">
        <f>E5*(1+0.05)^4</f>
        <v/>
      </c>
      <c r="F21" s="8">
        <f>'Per-User P&amp;L'!E4*B21+'Per-User P&amp;L'!E5*C21+'Per-User P&amp;L'!E6*D21+'Per-User P&amp;L'!E7*E21-'Per-User P&amp;L'!D4*B21+'Per-User P&amp;L'!D5*C21+'Per-User P&amp;L'!D6*D21+'Per-User P&amp;L'!D7*E21-(Assumptions!B49+Assumptions!B50*SUM(B21:E21))</f>
        <v/>
      </c>
      <c r="G21" s="8">
        <f>'Per-User P&amp;L'!G4*B21+'Per-User P&amp;L'!G5*C21+'Per-User P&amp;L'!G6*D21+'Per-User P&amp;L'!G7*E21-'Per-User P&amp;L'!D4*B21+'Per-User P&amp;L'!D5*C21+'Per-User P&amp;L'!D6*D21+'Per-User P&amp;L'!D7*E21-(Assumptions!B49+Assumptions!B50*SUM(B21:E21))</f>
        <v/>
      </c>
      <c r="H21" s="8">
        <f>'Per-User P&amp;L'!G4*B21+'Per-User P&amp;L'!G5*C21+'Per-User P&amp;L'!G6*D21+'Per-User P&amp;L'!G7*E21</f>
        <v/>
      </c>
    </row>
    <row r="22">
      <c r="A22" s="6" t="inlineStr">
        <is>
          <t>Month 6</t>
        </is>
      </c>
      <c r="B22" s="8">
        <f>B5*(1+0.05)^5</f>
        <v/>
      </c>
      <c r="C22" s="8">
        <f>C5*(1+0.05)^5</f>
        <v/>
      </c>
      <c r="D22" s="8">
        <f>D5*(1+0.05)^5</f>
        <v/>
      </c>
      <c r="E22" s="8">
        <f>E5*(1+0.05)^5</f>
        <v/>
      </c>
      <c r="F22" s="8">
        <f>'Per-User P&amp;L'!E4*B22+'Per-User P&amp;L'!E5*C22+'Per-User P&amp;L'!E6*D22+'Per-User P&amp;L'!E7*E22-'Per-User P&amp;L'!D4*B22+'Per-User P&amp;L'!D5*C22+'Per-User P&amp;L'!D6*D22+'Per-User P&amp;L'!D7*E22-(Assumptions!B49+Assumptions!B50*SUM(B22:E22))</f>
        <v/>
      </c>
      <c r="G22" s="8">
        <f>'Per-User P&amp;L'!G4*B22+'Per-User P&amp;L'!G5*C22+'Per-User P&amp;L'!G6*D22+'Per-User P&amp;L'!G7*E22-'Per-User P&amp;L'!D4*B22+'Per-User P&amp;L'!D5*C22+'Per-User P&amp;L'!D6*D22+'Per-User P&amp;L'!D7*E22-(Assumptions!B49+Assumptions!B50*SUM(B22:E22))</f>
        <v/>
      </c>
      <c r="H22" s="8">
        <f>'Per-User P&amp;L'!G4*B22+'Per-User P&amp;L'!G5*C22+'Per-User P&amp;L'!G6*D22+'Per-User P&amp;L'!G7*E22</f>
        <v/>
      </c>
    </row>
    <row r="23">
      <c r="A23" s="6" t="inlineStr">
        <is>
          <t>Month 7</t>
        </is>
      </c>
      <c r="B23" s="8">
        <f>B5*(1+0.05)^6</f>
        <v/>
      </c>
      <c r="C23" s="8">
        <f>C5*(1+0.05)^6</f>
        <v/>
      </c>
      <c r="D23" s="8">
        <f>D5*(1+0.05)^6</f>
        <v/>
      </c>
      <c r="E23" s="8">
        <f>E5*(1+0.05)^6</f>
        <v/>
      </c>
      <c r="F23" s="8">
        <f>'Per-User P&amp;L'!E4*B23+'Per-User P&amp;L'!E5*C23+'Per-User P&amp;L'!E6*D23+'Per-User P&amp;L'!E7*E23-'Per-User P&amp;L'!D4*B23+'Per-User P&amp;L'!D5*C23+'Per-User P&amp;L'!D6*D23+'Per-User P&amp;L'!D7*E23-(Assumptions!B49+Assumptions!B50*SUM(B23:E23))</f>
        <v/>
      </c>
      <c r="G23" s="8">
        <f>'Per-User P&amp;L'!G4*B23+'Per-User P&amp;L'!G5*C23+'Per-User P&amp;L'!G6*D23+'Per-User P&amp;L'!G7*E23-'Per-User P&amp;L'!D4*B23+'Per-User P&amp;L'!D5*C23+'Per-User P&amp;L'!D6*D23+'Per-User P&amp;L'!D7*E23-(Assumptions!B49+Assumptions!B50*SUM(B23:E23))</f>
        <v/>
      </c>
      <c r="H23" s="8">
        <f>'Per-User P&amp;L'!G4*B23+'Per-User P&amp;L'!G5*C23+'Per-User P&amp;L'!G6*D23+'Per-User P&amp;L'!G7*E23</f>
        <v/>
      </c>
    </row>
    <row r="24">
      <c r="A24" s="6" t="inlineStr">
        <is>
          <t>Month 8</t>
        </is>
      </c>
      <c r="B24" s="8">
        <f>B5*(1+0.05)^7</f>
        <v/>
      </c>
      <c r="C24" s="8">
        <f>C5*(1+0.05)^7</f>
        <v/>
      </c>
      <c r="D24" s="8">
        <f>D5*(1+0.05)^7</f>
        <v/>
      </c>
      <c r="E24" s="8">
        <f>E5*(1+0.05)^7</f>
        <v/>
      </c>
      <c r="F24" s="8">
        <f>'Per-User P&amp;L'!E4*B24+'Per-User P&amp;L'!E5*C24+'Per-User P&amp;L'!E6*D24+'Per-User P&amp;L'!E7*E24-'Per-User P&amp;L'!D4*B24+'Per-User P&amp;L'!D5*C24+'Per-User P&amp;L'!D6*D24+'Per-User P&amp;L'!D7*E24-(Assumptions!B49+Assumptions!B50*SUM(B24:E24))</f>
        <v/>
      </c>
      <c r="G24" s="8">
        <f>'Per-User P&amp;L'!G4*B24+'Per-User P&amp;L'!G5*C24+'Per-User P&amp;L'!G6*D24+'Per-User P&amp;L'!G7*E24-'Per-User P&amp;L'!D4*B24+'Per-User P&amp;L'!D5*C24+'Per-User P&amp;L'!D6*D24+'Per-User P&amp;L'!D7*E24-(Assumptions!B49+Assumptions!B50*SUM(B24:E24))</f>
        <v/>
      </c>
      <c r="H24" s="8">
        <f>'Per-User P&amp;L'!G4*B24+'Per-User P&amp;L'!G5*C24+'Per-User P&amp;L'!G6*D24+'Per-User P&amp;L'!G7*E24</f>
        <v/>
      </c>
    </row>
    <row r="25">
      <c r="A25" s="6" t="inlineStr">
        <is>
          <t>Month 9</t>
        </is>
      </c>
      <c r="B25" s="8">
        <f>B5*(1+0.05)^8</f>
        <v/>
      </c>
      <c r="C25" s="8">
        <f>C5*(1+0.05)^8</f>
        <v/>
      </c>
      <c r="D25" s="8">
        <f>D5*(1+0.05)^8</f>
        <v/>
      </c>
      <c r="E25" s="8">
        <f>E5*(1+0.05)^8</f>
        <v/>
      </c>
      <c r="F25" s="8">
        <f>'Per-User P&amp;L'!E4*B25+'Per-User P&amp;L'!E5*C25+'Per-User P&amp;L'!E6*D25+'Per-User P&amp;L'!E7*E25-'Per-User P&amp;L'!D4*B25+'Per-User P&amp;L'!D5*C25+'Per-User P&amp;L'!D6*D25+'Per-User P&amp;L'!D7*E25-(Assumptions!B49+Assumptions!B50*SUM(B25:E25))</f>
        <v/>
      </c>
      <c r="G25" s="8">
        <f>'Per-User P&amp;L'!G4*B25+'Per-User P&amp;L'!G5*C25+'Per-User P&amp;L'!G6*D25+'Per-User P&amp;L'!G7*E25-'Per-User P&amp;L'!D4*B25+'Per-User P&amp;L'!D5*C25+'Per-User P&amp;L'!D6*D25+'Per-User P&amp;L'!D7*E25-(Assumptions!B49+Assumptions!B50*SUM(B25:E25))</f>
        <v/>
      </c>
      <c r="H25" s="8">
        <f>'Per-User P&amp;L'!G4*B25+'Per-User P&amp;L'!G5*C25+'Per-User P&amp;L'!G6*D25+'Per-User P&amp;L'!G7*E25</f>
        <v/>
      </c>
    </row>
    <row r="26">
      <c r="A26" s="6" t="inlineStr">
        <is>
          <t>Month 10</t>
        </is>
      </c>
      <c r="B26" s="8">
        <f>B5*(1+0.05)^9</f>
        <v/>
      </c>
      <c r="C26" s="8">
        <f>C5*(1+0.05)^9</f>
        <v/>
      </c>
      <c r="D26" s="8">
        <f>D5*(1+0.05)^9</f>
        <v/>
      </c>
      <c r="E26" s="8">
        <f>E5*(1+0.05)^9</f>
        <v/>
      </c>
      <c r="F26" s="8">
        <f>'Per-User P&amp;L'!E4*B26+'Per-User P&amp;L'!E5*C26+'Per-User P&amp;L'!E6*D26+'Per-User P&amp;L'!E7*E26-'Per-User P&amp;L'!D4*B26+'Per-User P&amp;L'!D5*C26+'Per-User P&amp;L'!D6*D26+'Per-User P&amp;L'!D7*E26-(Assumptions!B49+Assumptions!B50*SUM(B26:E26))</f>
        <v/>
      </c>
      <c r="G26" s="8">
        <f>'Per-User P&amp;L'!G4*B26+'Per-User P&amp;L'!G5*C26+'Per-User P&amp;L'!G6*D26+'Per-User P&amp;L'!G7*E26-'Per-User P&amp;L'!D4*B26+'Per-User P&amp;L'!D5*C26+'Per-User P&amp;L'!D6*D26+'Per-User P&amp;L'!D7*E26-(Assumptions!B49+Assumptions!B50*SUM(B26:E26))</f>
        <v/>
      </c>
      <c r="H26" s="8">
        <f>'Per-User P&amp;L'!G4*B26+'Per-User P&amp;L'!G5*C26+'Per-User P&amp;L'!G6*D26+'Per-User P&amp;L'!G7*E26</f>
        <v/>
      </c>
    </row>
    <row r="27">
      <c r="A27" s="6" t="inlineStr">
        <is>
          <t>Month 11</t>
        </is>
      </c>
      <c r="B27" s="8">
        <f>B5*(1+0.05)^10</f>
        <v/>
      </c>
      <c r="C27" s="8">
        <f>C5*(1+0.05)^10</f>
        <v/>
      </c>
      <c r="D27" s="8">
        <f>D5*(1+0.05)^10</f>
        <v/>
      </c>
      <c r="E27" s="8">
        <f>E5*(1+0.05)^10</f>
        <v/>
      </c>
      <c r="F27" s="8">
        <f>'Per-User P&amp;L'!E4*B27+'Per-User P&amp;L'!E5*C27+'Per-User P&amp;L'!E6*D27+'Per-User P&amp;L'!E7*E27-'Per-User P&amp;L'!D4*B27+'Per-User P&amp;L'!D5*C27+'Per-User P&amp;L'!D6*D27+'Per-User P&amp;L'!D7*E27-(Assumptions!B49+Assumptions!B50*SUM(B27:E27))</f>
        <v/>
      </c>
      <c r="G27" s="8">
        <f>'Per-User P&amp;L'!G4*B27+'Per-User P&amp;L'!G5*C27+'Per-User P&amp;L'!G6*D27+'Per-User P&amp;L'!G7*E27-'Per-User P&amp;L'!D4*B27+'Per-User P&amp;L'!D5*C27+'Per-User P&amp;L'!D6*D27+'Per-User P&amp;L'!D7*E27-(Assumptions!B49+Assumptions!B50*SUM(B27:E27))</f>
        <v/>
      </c>
      <c r="H27" s="8">
        <f>'Per-User P&amp;L'!G4*B27+'Per-User P&amp;L'!G5*C27+'Per-User P&amp;L'!G6*D27+'Per-User P&amp;L'!G7*E27</f>
        <v/>
      </c>
    </row>
    <row r="28">
      <c r="A28" s="6" t="inlineStr">
        <is>
          <t>Month 12</t>
        </is>
      </c>
      <c r="B28" s="8">
        <f>B5*(1+0.05)^11</f>
        <v/>
      </c>
      <c r="C28" s="8">
        <f>C5*(1+0.05)^11</f>
        <v/>
      </c>
      <c r="D28" s="8">
        <f>D5*(1+0.05)^11</f>
        <v/>
      </c>
      <c r="E28" s="8">
        <f>E5*(1+0.05)^11</f>
        <v/>
      </c>
      <c r="F28" s="8">
        <f>'Per-User P&amp;L'!E4*B28+'Per-User P&amp;L'!E5*C28+'Per-User P&amp;L'!E6*D28+'Per-User P&amp;L'!E7*E28-'Per-User P&amp;L'!D4*B28+'Per-User P&amp;L'!D5*C28+'Per-User P&amp;L'!D6*D28+'Per-User P&amp;L'!D7*E28-(Assumptions!B49+Assumptions!B50*SUM(B28:E28))</f>
        <v/>
      </c>
      <c r="G28" s="8">
        <f>'Per-User P&amp;L'!G4*B28+'Per-User P&amp;L'!G5*C28+'Per-User P&amp;L'!G6*D28+'Per-User P&amp;L'!G7*E28-'Per-User P&amp;L'!D4*B28+'Per-User P&amp;L'!D5*C28+'Per-User P&amp;L'!D6*D28+'Per-User P&amp;L'!D7*E28-(Assumptions!B49+Assumptions!B50*SUM(B28:E28))</f>
        <v/>
      </c>
      <c r="H28" s="8">
        <f>'Per-User P&amp;L'!G4*B28+'Per-User P&amp;L'!G5*C28+'Per-User P&amp;L'!G6*D28+'Per-User P&amp;L'!G7*E28</f>
        <v/>
      </c>
    </row>
    <row r="29">
      <c r="A29" s="3" t="inlineStr">
        <is>
          <t>Year 1 total</t>
        </is>
      </c>
      <c r="F29" s="12">
        <f>SUM(F17:F28)</f>
        <v/>
      </c>
      <c r="G29" s="12">
        <f>SUM(G17:G28)</f>
        <v/>
      </c>
      <c r="H29" s="12">
        <f>SUM(H17:H28)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0" customWidth="1" min="20" max="20"/>
    <col width="42" customWidth="1" min="42" max="42"/>
  </cols>
  <sheetData>
    <row r="1">
      <c r="A1" s="1" t="inlineStr">
        <is>
          <t>Break-even analysis</t>
        </is>
      </c>
    </row>
    <row r="3">
      <c r="A3" s="3" t="inlineStr">
        <is>
          <t>Revenue per page view across Google Ads CPM range</t>
        </is>
      </c>
      <c r="B3" s="4" t="n"/>
      <c r="C3" s="4" t="n"/>
    </row>
    <row r="4">
      <c r="A4" s="5" t="inlineStr">
        <is>
          <t>CPM ($)</t>
        </is>
      </c>
      <c r="B4" s="5" t="inlineStr">
        <is>
          <t>Rev/view sticky (95%)</t>
        </is>
      </c>
      <c r="C4" s="5" t="inlineStr">
        <is>
          <t>Rev/view standard (60%)</t>
        </is>
      </c>
    </row>
    <row r="5">
      <c r="A5" s="7" t="n">
        <v>2</v>
      </c>
      <c r="B5" s="8">
        <f>A5*Assumptions!B40*Assumptions!B44*(1-Assumptions!B45)/1000</f>
        <v/>
      </c>
      <c r="C5" s="8">
        <f>A5*Assumptions!B40*Assumptions!B43*(1-Assumptions!B45)/1000</f>
        <v/>
      </c>
    </row>
    <row r="6">
      <c r="A6" s="7" t="n">
        <v>3</v>
      </c>
      <c r="B6" s="8">
        <f>A6*Assumptions!B40*Assumptions!B44*(1-Assumptions!B45)/1000</f>
        <v/>
      </c>
      <c r="C6" s="8">
        <f>A6*Assumptions!B40*Assumptions!B43*(1-Assumptions!B45)/1000</f>
        <v/>
      </c>
    </row>
    <row r="7">
      <c r="A7" s="7" t="n">
        <v>4</v>
      </c>
      <c r="B7" s="8">
        <f>A7*Assumptions!B40*Assumptions!B44*(1-Assumptions!B45)/1000</f>
        <v/>
      </c>
      <c r="C7" s="8">
        <f>A7*Assumptions!B40*Assumptions!B43*(1-Assumptions!B45)/1000</f>
        <v/>
      </c>
    </row>
    <row r="8">
      <c r="A8" s="7" t="n">
        <v>5</v>
      </c>
      <c r="B8" s="8">
        <f>A8*Assumptions!B40*Assumptions!B44*(1-Assumptions!B45)/1000</f>
        <v/>
      </c>
      <c r="C8" s="8">
        <f>A8*Assumptions!B40*Assumptions!B43*(1-Assumptions!B45)/1000</f>
        <v/>
      </c>
    </row>
    <row r="9">
      <c r="A9" s="7" t="n">
        <v>6</v>
      </c>
      <c r="B9" s="8">
        <f>A9*Assumptions!B40*Assumptions!B44*(1-Assumptions!B45)/1000</f>
        <v/>
      </c>
      <c r="C9" s="8">
        <f>A9*Assumptions!B40*Assumptions!B43*(1-Assumptions!B45)/1000</f>
        <v/>
      </c>
    </row>
    <row r="10">
      <c r="A10" s="7" t="n">
        <v>7</v>
      </c>
      <c r="B10" s="8">
        <f>A10*Assumptions!B40*Assumptions!B44*(1-Assumptions!B45)/1000</f>
        <v/>
      </c>
      <c r="C10" s="8">
        <f>A10*Assumptions!B40*Assumptions!B43*(1-Assumptions!B45)/1000</f>
        <v/>
      </c>
    </row>
    <row r="11">
      <c r="A11" s="7" t="n">
        <v>8</v>
      </c>
      <c r="B11" s="8">
        <f>A11*Assumptions!B40*Assumptions!B44*(1-Assumptions!B45)/1000</f>
        <v/>
      </c>
      <c r="C11" s="8">
        <f>A11*Assumptions!B40*Assumptions!B43*(1-Assumptions!B45)/1000</f>
        <v/>
      </c>
    </row>
    <row r="13">
      <c r="A13" s="3" t="inlineStr">
        <is>
          <t>Break-even CPM per action (2 slots, sticky)</t>
        </is>
      </c>
      <c r="B13" s="4" t="n"/>
      <c r="C13" s="4" t="n"/>
    </row>
    <row r="14">
      <c r="A14" s="5" t="inlineStr">
        <is>
          <t>Action</t>
        </is>
      </c>
      <c r="B14" s="5" t="inlineStr">
        <is>
          <t>Avg cost</t>
        </is>
      </c>
      <c r="C14" s="5" t="inlineStr">
        <is>
          <t>Break-even CPM ($)</t>
        </is>
      </c>
    </row>
    <row r="15">
      <c r="A15" s="6" t="inlineStr">
        <is>
          <t>Create note</t>
        </is>
      </c>
      <c r="B15" s="8">
        <f>'Cost Per Action'!F4</f>
        <v/>
      </c>
      <c r="C15" s="9">
        <f>'Unit Economics'!G4</f>
        <v/>
      </c>
    </row>
    <row r="16">
      <c r="A16" s="6" t="inlineStr">
        <is>
          <t>Generate flashcards</t>
        </is>
      </c>
      <c r="B16" s="8">
        <f>'Cost Per Action'!F5</f>
        <v/>
      </c>
      <c r="C16" s="9">
        <f>'Unit Economics'!G5</f>
        <v/>
      </c>
    </row>
    <row r="17">
      <c r="A17" s="6" t="inlineStr">
        <is>
          <t>Generate quiz</t>
        </is>
      </c>
      <c r="B17" s="8">
        <f>'Cost Per Action'!F6</f>
        <v/>
      </c>
      <c r="C17" s="9">
        <f>'Unit Economics'!G6</f>
        <v/>
      </c>
    </row>
    <row r="18">
      <c r="A18" s="6" t="inlineStr">
        <is>
          <t>Study All flashcards (folder)</t>
        </is>
      </c>
      <c r="B18" s="8">
        <f>'Cost Per Action'!F7</f>
        <v/>
      </c>
      <c r="C18" s="9">
        <f>'Unit Economics'!G7</f>
        <v/>
      </c>
    </row>
    <row r="19">
      <c r="A19" s="6" t="inlineStr">
        <is>
          <t>Study All quiz (folder)</t>
        </is>
      </c>
      <c r="B19" s="8">
        <f>'Cost Per Action'!F8</f>
        <v/>
      </c>
      <c r="C19" s="9">
        <f>'Unit Economics'!G8</f>
        <v/>
      </c>
    </row>
    <row r="20">
      <c r="A20" s="6" t="inlineStr">
        <is>
          <t>Essay grading</t>
        </is>
      </c>
      <c r="B20" s="8">
        <f>'Cost Per Action'!F9</f>
        <v/>
      </c>
      <c r="C20" s="9">
        <f>'Unit Economics'!G9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6" customWidth="1" min="16" max="16"/>
    <col width="34" customWidth="1" min="34" max="34"/>
  </cols>
  <sheetData>
    <row r="1">
      <c r="A1" s="1" t="inlineStr">
        <is>
          <t>Heavy user monthly profit: CPM x ad slots</t>
        </is>
      </c>
    </row>
    <row r="2">
      <c r="A2" s="2" t="inlineStr">
        <is>
          <t>Heavy user = 300 paid (x lifetime views) + 75 free game views/month. AI cost from Per-User P&amp;L.</t>
        </is>
      </c>
    </row>
    <row r="3">
      <c r="A3" s="5" t="inlineStr">
        <is>
          <t>CPM ($)</t>
        </is>
      </c>
      <c r="B3" s="5" t="inlineStr">
        <is>
          <t>1 slot</t>
        </is>
      </c>
      <c r="C3" s="5" t="inlineStr">
        <is>
          <t>2 slots</t>
        </is>
      </c>
      <c r="D3" s="5" t="inlineStr">
        <is>
          <t>3 slots</t>
        </is>
      </c>
    </row>
    <row r="4">
      <c r="A4" s="7" t="n">
        <v>2</v>
      </c>
      <c r="B4" s="9">
        <f>('Per-User P&amp;L'!B4*('Usage Mix'!B4*Assumptions!B32+'Usage Mix'!B5*Assumptions!B33+'Usage Mix'!B6*Assumptions!B34+'Usage Mix'!B7*Assumptions!B35+'Usage Mix'!B8*Assumptions!B36+'Usage Mix'!B9*Assumptions!B37)+'Per-User P&amp;L'!C4)*A4*1*IF(Assumptions!B46,Assumptions!B44,Assumptions!B43)*(1-Assumptions!B45)/1000-'Per-User P&amp;L'!D4</f>
        <v/>
      </c>
      <c r="C4" s="9">
        <f>('Per-User P&amp;L'!B4*('Usage Mix'!B4*Assumptions!B32+'Usage Mix'!B5*Assumptions!B33+'Usage Mix'!B6*Assumptions!B34+'Usage Mix'!B7*Assumptions!B35+'Usage Mix'!B8*Assumptions!B36+'Usage Mix'!B9*Assumptions!B37)+'Per-User P&amp;L'!C4)*A4*2*IF(Assumptions!B46,Assumptions!B44,Assumptions!B43)*(1-Assumptions!B45)/1000-'Per-User P&amp;L'!D4</f>
        <v/>
      </c>
      <c r="D4" s="9">
        <f>('Per-User P&amp;L'!B4*('Usage Mix'!B4*Assumptions!B32+'Usage Mix'!B5*Assumptions!B33+'Usage Mix'!B6*Assumptions!B34+'Usage Mix'!B7*Assumptions!B35+'Usage Mix'!B8*Assumptions!B36+'Usage Mix'!B9*Assumptions!B37)+'Per-User P&amp;L'!C4)*A4*3*IF(Assumptions!B46,Assumptions!B44,Assumptions!B43)*(1-Assumptions!B45)/1000-'Per-User P&amp;L'!D4</f>
        <v/>
      </c>
    </row>
    <row r="5">
      <c r="A5" s="7" t="n">
        <v>4</v>
      </c>
      <c r="B5" s="9">
        <f>('Per-User P&amp;L'!B4*('Usage Mix'!B4*Assumptions!B32+'Usage Mix'!B5*Assumptions!B33+'Usage Mix'!B6*Assumptions!B34+'Usage Mix'!B7*Assumptions!B35+'Usage Mix'!B8*Assumptions!B36+'Usage Mix'!B9*Assumptions!B37)+'Per-User P&amp;L'!C4)*A5*1*IF(Assumptions!B46,Assumptions!B44,Assumptions!B43)*(1-Assumptions!B45)/1000-'Per-User P&amp;L'!D4</f>
        <v/>
      </c>
      <c r="C5" s="9">
        <f>('Per-User P&amp;L'!B4*('Usage Mix'!B4*Assumptions!B32+'Usage Mix'!B5*Assumptions!B33+'Usage Mix'!B6*Assumptions!B34+'Usage Mix'!B7*Assumptions!B35+'Usage Mix'!B8*Assumptions!B36+'Usage Mix'!B9*Assumptions!B37)+'Per-User P&amp;L'!C4)*A5*2*IF(Assumptions!B46,Assumptions!B44,Assumptions!B43)*(1-Assumptions!B45)/1000-'Per-User P&amp;L'!D4</f>
        <v/>
      </c>
      <c r="D5" s="9">
        <f>('Per-User P&amp;L'!B4*('Usage Mix'!B4*Assumptions!B32+'Usage Mix'!B5*Assumptions!B33+'Usage Mix'!B6*Assumptions!B34+'Usage Mix'!B7*Assumptions!B35+'Usage Mix'!B8*Assumptions!B36+'Usage Mix'!B9*Assumptions!B37)+'Per-User P&amp;L'!C4)*A5*3*IF(Assumptions!B46,Assumptions!B44,Assumptions!B43)*(1-Assumptions!B45)/1000-'Per-User P&amp;L'!D4</f>
        <v/>
      </c>
    </row>
    <row r="6">
      <c r="A6" s="7" t="n">
        <v>6</v>
      </c>
      <c r="B6" s="9">
        <f>('Per-User P&amp;L'!B4*('Usage Mix'!B4*Assumptions!B32+'Usage Mix'!B5*Assumptions!B33+'Usage Mix'!B6*Assumptions!B34+'Usage Mix'!B7*Assumptions!B35+'Usage Mix'!B8*Assumptions!B36+'Usage Mix'!B9*Assumptions!B37)+'Per-User P&amp;L'!C4)*A6*1*IF(Assumptions!B46,Assumptions!B44,Assumptions!B43)*(1-Assumptions!B45)/1000-'Per-User P&amp;L'!D4</f>
        <v/>
      </c>
      <c r="C6" s="9">
        <f>('Per-User P&amp;L'!B4*('Usage Mix'!B4*Assumptions!B32+'Usage Mix'!B5*Assumptions!B33+'Usage Mix'!B6*Assumptions!B34+'Usage Mix'!B7*Assumptions!B35+'Usage Mix'!B8*Assumptions!B36+'Usage Mix'!B9*Assumptions!B37)+'Per-User P&amp;L'!C4)*A6*2*IF(Assumptions!B46,Assumptions!B44,Assumptions!B43)*(1-Assumptions!B45)/1000-'Per-User P&amp;L'!D4</f>
        <v/>
      </c>
      <c r="D6" s="9">
        <f>('Per-User P&amp;L'!B4*('Usage Mix'!B4*Assumptions!B32+'Usage Mix'!B5*Assumptions!B33+'Usage Mix'!B6*Assumptions!B34+'Usage Mix'!B7*Assumptions!B35+'Usage Mix'!B8*Assumptions!B36+'Usage Mix'!B9*Assumptions!B37)+'Per-User P&amp;L'!C4)*A6*3*IF(Assumptions!B46,Assumptions!B44,Assumptions!B43)*(1-Assumptions!B45)/1000-'Per-User P&amp;L'!D4</f>
        <v/>
      </c>
    </row>
    <row r="7">
      <c r="A7" s="7" t="n">
        <v>8</v>
      </c>
      <c r="B7" s="9">
        <f>('Per-User P&amp;L'!B4*('Usage Mix'!B4*Assumptions!B32+'Usage Mix'!B5*Assumptions!B33+'Usage Mix'!B6*Assumptions!B34+'Usage Mix'!B7*Assumptions!B35+'Usage Mix'!B8*Assumptions!B36+'Usage Mix'!B9*Assumptions!B37)+'Per-User P&amp;L'!C4)*A7*1*IF(Assumptions!B46,Assumptions!B44,Assumptions!B43)*(1-Assumptions!B45)/1000-'Per-User P&amp;L'!D4</f>
        <v/>
      </c>
      <c r="C7" s="9">
        <f>('Per-User P&amp;L'!B4*('Usage Mix'!B4*Assumptions!B32+'Usage Mix'!B5*Assumptions!B33+'Usage Mix'!B6*Assumptions!B34+'Usage Mix'!B7*Assumptions!B35+'Usage Mix'!B8*Assumptions!B36+'Usage Mix'!B9*Assumptions!B37)+'Per-User P&amp;L'!C4)*A7*2*IF(Assumptions!B46,Assumptions!B44,Assumptions!B43)*(1-Assumptions!B45)/1000-'Per-User P&amp;L'!D4</f>
        <v/>
      </c>
      <c r="D7" s="9">
        <f>('Per-User P&amp;L'!B4*('Usage Mix'!B4*Assumptions!B32+'Usage Mix'!B5*Assumptions!B33+'Usage Mix'!B6*Assumptions!B34+'Usage Mix'!B7*Assumptions!B35+'Usage Mix'!B8*Assumptions!B36+'Usage Mix'!B9*Assumptions!B37)+'Per-User P&amp;L'!C4)*A7*3*IF(Assumptions!B46,Assumptions!B44,Assumptions!B43)*(1-Assumptions!B45)/1000-'Per-User P&amp;L'!D4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2026-08-27T03:00:03Z</dcterms:created>
  <dcterms:modified xsi:type="dcterms:W3CDTF">2026-08-27T03:00:03Z</dcterms:modified>
</cp:coreProperties>
</file>